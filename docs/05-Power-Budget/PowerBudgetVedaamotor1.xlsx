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daa\Downloads\"/>
    </mc:Choice>
  </mc:AlternateContent>
  <xr:revisionPtr revIDLastSave="0" documentId="8_{08099ABB-C5FD-451F-93A8-653E240DE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Budget" sheetId="1" r:id="rId1"/>
  </sheets>
  <definedNames>
    <definedName name="_xlnm.Print_Area" localSheetId="0">'Power Budget'!$A$1:$H$40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26" i="1"/>
  <c r="G31" i="1"/>
  <c r="G22" i="1"/>
  <c r="G17" i="1"/>
  <c r="G16" i="1"/>
  <c r="G15" i="1"/>
  <c r="G11" i="1"/>
  <c r="G10" i="1"/>
  <c r="G38" i="1"/>
  <c r="G37" i="1"/>
  <c r="G40" i="1" s="1"/>
  <c r="G18" i="1" l="1"/>
  <c r="G20" i="1" s="1"/>
  <c r="G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E830B545-A945-4D0D-B1AA-820CF2B9FDF2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<sst xmlns="http://schemas.openxmlformats.org/spreadsheetml/2006/main" count="106" uniqueCount="53">
  <si>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</si>
  <si>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</si>
  <si>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</si>
  <si>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</si>
  <si>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</si>
  <si>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</si>
  <si>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</si>
  <si>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</si>
  <si>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</si>
  <si>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</si>
  <si>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</si>
  <si>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</si>
  <si>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</si>
  <si>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</si>
  <si>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</si>
  <si>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</si>
  <si>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</si>
  <si>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</si>
  <si>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</si>
  <si>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</si>
  <si>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</si>
  <si>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</si>
  <si>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</si>
  <si>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</si>
  <si>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 xml:space="preserve"> +24V</t>
  </si>
  <si>
    <t>Power Rails Connected to External Power Source 1</t>
  </si>
  <si>
    <t>Total Remaining Current Available on External Power Source 1</t>
  </si>
  <si>
    <t xml:space="preserve"> +9V</t>
  </si>
  <si>
    <t>Supply Voltage Range</t>
  </si>
  <si>
    <t>Qty.</t>
  </si>
  <si>
    <t>Regulator</t>
  </si>
  <si>
    <t>Total Current
(mA)</t>
  </si>
  <si>
    <t>Absolute Maximum Current (mA)</t>
  </si>
  <si>
    <t>Smart Trashcan</t>
  </si>
  <si>
    <t>Vedaa, Damian, Lia, Mohammmad</t>
  </si>
  <si>
    <t>#1</t>
  </si>
  <si>
    <t>Curiosity Nano</t>
  </si>
  <si>
    <t>PIC18F57Q43</t>
  </si>
  <si>
    <t xml:space="preserve"> +5V</t>
  </si>
  <si>
    <t xml:space="preserve"> +7 - 35V</t>
  </si>
  <si>
    <t xml:space="preserve"> +9V Power Rail</t>
  </si>
  <si>
    <t>Total Remaining Current Available on 9V Rail</t>
  </si>
  <si>
    <t xml:space="preserve"> +9V regulator</t>
  </si>
  <si>
    <t>PJ-102AH</t>
  </si>
  <si>
    <t>AC/DC Power Adapter</t>
  </si>
  <si>
    <t>100-240VAC</t>
  </si>
  <si>
    <t>DC Motor</t>
  </si>
  <si>
    <t>33JPF-15380-50</t>
  </si>
  <si>
    <t xml:space="preserve"> +9 - 12V</t>
  </si>
  <si>
    <t>H-Bridge</t>
  </si>
  <si>
    <t>FAN8100N</t>
  </si>
  <si>
    <t xml:space="preserve"> +1.8 - 9V</t>
  </si>
  <si>
    <t xml:space="preserve">Power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</si>
</sst>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2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8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24" xfId="0" applyFont="1" applyBorder="1"/>
    <xf numFmtId="49" fontId="5" fillId="0" borderId="25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49" fontId="5" fillId="0" borderId="27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49" fontId="5" fillId="0" borderId="32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</cellXfs>
  <cellStyles count="1">
    <cellStyle name="Normal" xfId="0" builtinId="0"/>
  </cellStyles>
  <dxfs count="2"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40"/>
  <sheetViews>
    <sheetView tabSelected="1" topLeftCell="A20" zoomScale="91" workbookViewId="0">
      <selection activeCell="F8" sqref="F8"/>
    </sheetView>
  </sheetViews>
  <sheetFormatPr defaultColWidth="13.5" defaultRowHeight="15.75" customHeight="1" x14ac:dyDescent="0.3"/>
  <cols>
    <col min="1" max="1" width="22.5" style="1" customWidth="1"/>
    <col min="2" max="2" width="20.09765625" style="1" customWidth="1"/>
    <col min="3" max="3" width="18" style="1" customWidth="1"/>
    <col min="4" max="4" width="11.5" style="1" customWidth="1"/>
    <col min="5" max="5" width="7.19921875" style="1" customWidth="1"/>
    <col min="6" max="6" width="12.3984375" style="5" customWidth="1"/>
    <col min="7" max="7" width="11.3984375" style="5" customWidth="1"/>
    <col min="8" max="8" width="9" style="5" customWidth="1"/>
    <col min="9" max="16384" width="13.5" style="1"/>
  </cols>
  <sheetData>
    <row r="1" spans="1:8" ht="30" customHeight="1" x14ac:dyDescent="0.6">
      <c r="A1" s="65" t="s">
        <v>52</v>
      </c>
      <c r="B1" s="66"/>
      <c r="C1" s="66"/>
      <c r="D1" s="66"/>
      <c r="E1" s="66"/>
      <c r="F1" s="66"/>
      <c r="G1" s="66"/>
      <c r="H1" s="66"/>
    </row>
    <row r="2" spans="1:8" ht="15" customHeight="1" x14ac:dyDescent="0.3">
      <c r="A2" s="10" t="s">
        <v>0</v>
      </c>
      <c r="B2" s="11">
        <v>202</v>
      </c>
      <c r="D2" s="2"/>
      <c r="E2" s="2"/>
    </row>
    <row r="3" spans="1:8" ht="15" customHeight="1" x14ac:dyDescent="0.3">
      <c r="A3" s="10" t="s">
        <v>1</v>
      </c>
      <c r="B3" s="12" t="s">
        <v>33</v>
      </c>
      <c r="C3" s="3"/>
      <c r="D3" s="2"/>
      <c r="E3" s="2"/>
      <c r="F3" s="2"/>
      <c r="G3" s="2"/>
      <c r="H3" s="2"/>
    </row>
    <row r="4" spans="1:8" ht="15" customHeight="1" x14ac:dyDescent="0.3">
      <c r="A4" s="10" t="s">
        <v>2</v>
      </c>
      <c r="B4" s="12" t="s">
        <v>34</v>
      </c>
      <c r="C4" s="3"/>
      <c r="D4" s="2"/>
      <c r="E4" s="2"/>
      <c r="F4" s="2"/>
      <c r="G4" s="2"/>
      <c r="H4" s="2"/>
    </row>
    <row r="5" spans="1:8" ht="15" customHeight="1" x14ac:dyDescent="0.3">
      <c r="A5" s="10" t="s">
        <v>3</v>
      </c>
      <c r="B5" s="12" t="s">
        <v>35</v>
      </c>
      <c r="C5" s="3"/>
      <c r="D5" s="2"/>
      <c r="E5" s="2"/>
      <c r="F5" s="2"/>
      <c r="G5" s="2"/>
      <c r="H5" s="2"/>
    </row>
    <row r="6" spans="1:8" ht="15" customHeight="1" x14ac:dyDescent="0.3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3">
      <c r="A7" s="67" t="s">
        <v>4</v>
      </c>
      <c r="B7" s="68"/>
      <c r="C7" s="68"/>
      <c r="D7" s="68"/>
      <c r="E7" s="68"/>
      <c r="F7" s="68"/>
      <c r="G7" s="68"/>
      <c r="H7" s="69"/>
    </row>
    <row r="8" spans="1:8" ht="47.4" thickBot="1" x14ac:dyDescent="0.35">
      <c r="A8" s="18" t="s">
        <v>5</v>
      </c>
      <c r="B8" s="19" t="s">
        <v>6</v>
      </c>
      <c r="C8" s="19" t="s">
        <v>7</v>
      </c>
      <c r="D8" s="20" t="s">
        <v>28</v>
      </c>
      <c r="E8" s="19" t="s">
        <v>29</v>
      </c>
      <c r="F8" s="20" t="s">
        <v>32</v>
      </c>
      <c r="G8" s="20" t="s">
        <v>31</v>
      </c>
      <c r="H8" s="19" t="s">
        <v>11</v>
      </c>
    </row>
    <row r="9" spans="1:8" ht="15" customHeight="1" x14ac:dyDescent="0.3">
      <c r="A9" s="4"/>
      <c r="B9" s="24" t="s">
        <v>46</v>
      </c>
      <c r="C9" s="25" t="s">
        <v>47</v>
      </c>
      <c r="D9" s="26" t="s">
        <v>48</v>
      </c>
      <c r="E9" s="26">
        <v>1</v>
      </c>
      <c r="F9" s="26">
        <v>160</v>
      </c>
      <c r="G9" s="26">
        <v>160</v>
      </c>
      <c r="H9" s="28" t="s">
        <v>12</v>
      </c>
    </row>
    <row r="10" spans="1:8" ht="15" customHeight="1" x14ac:dyDescent="0.3">
      <c r="A10" s="4"/>
      <c r="B10" s="27" t="s">
        <v>36</v>
      </c>
      <c r="C10" s="13" t="s">
        <v>37</v>
      </c>
      <c r="D10" s="14" t="s">
        <v>38</v>
      </c>
      <c r="E10" s="14">
        <v>1</v>
      </c>
      <c r="F10" s="14">
        <v>500</v>
      </c>
      <c r="G10" s="14">
        <f t="shared" ref="G10" si="0">E10*F10</f>
        <v>500</v>
      </c>
      <c r="H10" s="29" t="s">
        <v>12</v>
      </c>
    </row>
    <row r="11" spans="1:8" ht="15" customHeight="1" x14ac:dyDescent="0.3">
      <c r="A11" s="4"/>
      <c r="B11" s="27" t="s">
        <v>49</v>
      </c>
      <c r="C11" s="13" t="s">
        <v>50</v>
      </c>
      <c r="D11" s="15" t="s">
        <v>51</v>
      </c>
      <c r="E11" s="14">
        <v>1</v>
      </c>
      <c r="F11" s="14">
        <v>1500</v>
      </c>
      <c r="G11" s="14">
        <f>E11*F11</f>
        <v>1500</v>
      </c>
      <c r="H11" s="29" t="s">
        <v>12</v>
      </c>
    </row>
    <row r="12" spans="1:8" ht="15" customHeight="1" x14ac:dyDescent="0.3">
      <c r="A12" s="6"/>
      <c r="B12" s="12"/>
      <c r="C12" s="12"/>
      <c r="D12" s="22"/>
      <c r="E12" s="22"/>
      <c r="F12" s="22"/>
      <c r="G12" s="23"/>
      <c r="H12" s="23"/>
    </row>
    <row r="13" spans="1:8" ht="15" customHeight="1" x14ac:dyDescent="0.3">
      <c r="A13" s="35"/>
      <c r="B13" s="36"/>
      <c r="C13" s="11"/>
      <c r="D13" s="11"/>
      <c r="E13" s="11"/>
      <c r="F13" s="11"/>
      <c r="G13" s="34"/>
      <c r="H13" s="34"/>
    </row>
    <row r="14" spans="1:8" ht="47.4" thickBot="1" x14ac:dyDescent="0.35">
      <c r="A14" s="40" t="s">
        <v>15</v>
      </c>
      <c r="B14" s="19" t="s">
        <v>6</v>
      </c>
      <c r="C14" s="19" t="s">
        <v>7</v>
      </c>
      <c r="D14" s="20" t="s">
        <v>8</v>
      </c>
      <c r="E14" s="19" t="s">
        <v>29</v>
      </c>
      <c r="F14" s="20" t="s">
        <v>9</v>
      </c>
      <c r="G14" s="20" t="s">
        <v>10</v>
      </c>
      <c r="H14" s="19" t="s">
        <v>11</v>
      </c>
    </row>
    <row r="15" spans="1:8" ht="15" customHeight="1" x14ac:dyDescent="0.3">
      <c r="A15" s="4"/>
      <c r="B15" s="16" t="s">
        <v>36</v>
      </c>
      <c r="C15" s="16" t="s">
        <v>37</v>
      </c>
      <c r="D15" s="17" t="s">
        <v>38</v>
      </c>
      <c r="E15" s="17">
        <v>1</v>
      </c>
      <c r="F15" s="17">
        <v>500</v>
      </c>
      <c r="G15" s="17">
        <f>F15*E15</f>
        <v>500</v>
      </c>
      <c r="H15" s="17" t="s">
        <v>12</v>
      </c>
    </row>
    <row r="16" spans="1:8" ht="15" customHeight="1" x14ac:dyDescent="0.3">
      <c r="A16" s="4"/>
      <c r="B16" s="13" t="s">
        <v>49</v>
      </c>
      <c r="C16" s="13" t="s">
        <v>50</v>
      </c>
      <c r="D16" s="14" t="s">
        <v>51</v>
      </c>
      <c r="E16" s="14">
        <v>1</v>
      </c>
      <c r="F16" s="14">
        <v>65</v>
      </c>
      <c r="G16" s="14">
        <f>E16*F16</f>
        <v>65</v>
      </c>
      <c r="H16" s="14" t="s">
        <v>12</v>
      </c>
    </row>
    <row r="17" spans="1:8" ht="15" customHeight="1" thickBot="1" x14ac:dyDescent="0.35">
      <c r="A17" s="4"/>
      <c r="B17" s="30"/>
      <c r="C17" s="30"/>
      <c r="D17" s="31"/>
      <c r="E17" s="31"/>
      <c r="F17" s="31"/>
      <c r="G17" s="31">
        <f t="shared" ref="G17" si="1">E17*F17</f>
        <v>0</v>
      </c>
      <c r="H17" s="31" t="s">
        <v>12</v>
      </c>
    </row>
    <row r="18" spans="1:8" ht="15" customHeight="1" thickTop="1" x14ac:dyDescent="0.3">
      <c r="A18" s="4"/>
      <c r="B18" s="21"/>
      <c r="C18" s="21"/>
      <c r="D18" s="79" t="s">
        <v>13</v>
      </c>
      <c r="E18" s="79"/>
      <c r="F18" s="79"/>
      <c r="G18" s="17">
        <f>SUM(G15:G17)</f>
        <v>565</v>
      </c>
      <c r="H18" s="17" t="s">
        <v>12</v>
      </c>
    </row>
    <row r="19" spans="1:8" ht="15" customHeight="1" thickBot="1" x14ac:dyDescent="0.35">
      <c r="A19" s="4"/>
      <c r="D19" s="80" t="s">
        <v>14</v>
      </c>
      <c r="E19" s="80"/>
      <c r="F19" s="80"/>
      <c r="G19" s="32">
        <v>0.25</v>
      </c>
      <c r="H19" s="32"/>
    </row>
    <row r="20" spans="1:8" ht="15" customHeight="1" thickTop="1" x14ac:dyDescent="0.3">
      <c r="A20" s="7"/>
      <c r="D20" s="79" t="s">
        <v>16</v>
      </c>
      <c r="E20" s="79"/>
      <c r="F20" s="79"/>
      <c r="G20" s="17">
        <f>G18*(1+G19)</f>
        <v>706.25</v>
      </c>
      <c r="H20" s="17" t="s">
        <v>12</v>
      </c>
    </row>
    <row r="21" spans="1:8" ht="15" customHeight="1" x14ac:dyDescent="0.3">
      <c r="A21" s="8"/>
      <c r="B21" s="33"/>
      <c r="C21" s="33"/>
      <c r="D21" s="34"/>
      <c r="E21" s="34"/>
      <c r="F21" s="34"/>
      <c r="G21" s="9"/>
      <c r="H21" s="9"/>
    </row>
    <row r="22" spans="1:8" ht="15" customHeight="1" thickBot="1" x14ac:dyDescent="0.35">
      <c r="A22" s="39" t="s">
        <v>30</v>
      </c>
      <c r="B22" s="38" t="s">
        <v>17</v>
      </c>
      <c r="C22" s="38" t="s">
        <v>18</v>
      </c>
      <c r="D22" s="31" t="s">
        <v>39</v>
      </c>
      <c r="E22" s="31">
        <v>1</v>
      </c>
      <c r="F22" s="31">
        <v>1500</v>
      </c>
      <c r="G22" s="31">
        <f>E22*F22</f>
        <v>1500</v>
      </c>
      <c r="H22" s="31" t="s">
        <v>12</v>
      </c>
    </row>
    <row r="23" spans="1:8" ht="15" customHeight="1" thickTop="1" x14ac:dyDescent="0.3">
      <c r="A23" s="35"/>
      <c r="B23" s="81" t="s">
        <v>19</v>
      </c>
      <c r="C23" s="81"/>
      <c r="D23" s="81"/>
      <c r="E23" s="81"/>
      <c r="F23" s="81"/>
      <c r="G23" s="17">
        <f>G22-G20</f>
        <v>793.75</v>
      </c>
      <c r="H23" s="17" t="s">
        <v>12</v>
      </c>
    </row>
    <row r="24" spans="1:8" ht="15" customHeight="1" x14ac:dyDescent="0.3">
      <c r="A24" s="52"/>
      <c r="B24" s="53"/>
      <c r="C24" s="54"/>
      <c r="D24" s="54"/>
      <c r="E24" s="54"/>
      <c r="F24" s="54"/>
      <c r="G24" s="55"/>
      <c r="H24" s="55"/>
    </row>
    <row r="25" spans="1:8" ht="47.4" thickBot="1" x14ac:dyDescent="0.35">
      <c r="A25" s="40" t="s">
        <v>40</v>
      </c>
      <c r="B25" s="19" t="s">
        <v>6</v>
      </c>
      <c r="C25" s="19" t="s">
        <v>7</v>
      </c>
      <c r="D25" s="20" t="s">
        <v>8</v>
      </c>
      <c r="E25" s="19" t="s">
        <v>29</v>
      </c>
      <c r="F25" s="20" t="s">
        <v>9</v>
      </c>
      <c r="G25" s="20" t="s">
        <v>10</v>
      </c>
      <c r="H25" s="19" t="s">
        <v>11</v>
      </c>
    </row>
    <row r="26" spans="1:8" ht="15.75" customHeight="1" thickBot="1" x14ac:dyDescent="0.35">
      <c r="A26" s="4"/>
      <c r="B26" s="13" t="s">
        <v>49</v>
      </c>
      <c r="C26" s="13" t="s">
        <v>50</v>
      </c>
      <c r="D26" s="14" t="s">
        <v>51</v>
      </c>
      <c r="E26" s="14">
        <v>1</v>
      </c>
      <c r="F26" s="14">
        <v>65</v>
      </c>
      <c r="G26" s="14">
        <f>E26*F26</f>
        <v>65</v>
      </c>
      <c r="H26" s="14" t="s">
        <v>12</v>
      </c>
    </row>
    <row r="27" spans="1:8" ht="15.75" customHeight="1" x14ac:dyDescent="0.3">
      <c r="A27" s="4"/>
      <c r="B27" s="24" t="s">
        <v>46</v>
      </c>
      <c r="C27" s="25" t="s">
        <v>47</v>
      </c>
      <c r="D27" s="26" t="s">
        <v>48</v>
      </c>
      <c r="E27" s="26">
        <v>1</v>
      </c>
      <c r="F27" s="26">
        <v>160</v>
      </c>
      <c r="G27" s="26">
        <v>160</v>
      </c>
      <c r="H27" s="28" t="s">
        <v>12</v>
      </c>
    </row>
    <row r="28" spans="1:8" ht="15.6" hidden="1" customHeight="1" x14ac:dyDescent="0.3"/>
    <row r="29" spans="1:8" ht="51" hidden="1" customHeight="1" x14ac:dyDescent="0.3"/>
    <row r="30" spans="1:8" ht="15" customHeight="1" x14ac:dyDescent="0.3">
      <c r="A30" s="8"/>
      <c r="C30" s="51"/>
      <c r="D30" s="5"/>
      <c r="E30" s="5"/>
      <c r="G30" s="56"/>
      <c r="H30" s="22"/>
    </row>
    <row r="31" spans="1:8" ht="16.2" thickBot="1" x14ac:dyDescent="0.35">
      <c r="A31" s="64" t="s">
        <v>30</v>
      </c>
      <c r="B31" s="61" t="s">
        <v>17</v>
      </c>
      <c r="C31" s="62" t="s">
        <v>18</v>
      </c>
      <c r="D31" s="63" t="s">
        <v>39</v>
      </c>
      <c r="E31" s="63">
        <v>1</v>
      </c>
      <c r="F31" s="63">
        <v>1500</v>
      </c>
      <c r="G31" s="63">
        <f>E31*F31</f>
        <v>1500</v>
      </c>
      <c r="H31" s="63" t="s">
        <v>12</v>
      </c>
    </row>
    <row r="32" spans="1:8" ht="15" customHeight="1" thickTop="1" x14ac:dyDescent="0.3">
      <c r="A32" s="21"/>
      <c r="B32" s="76" t="s">
        <v>41</v>
      </c>
      <c r="C32" s="77"/>
      <c r="D32" s="77"/>
      <c r="E32" s="77"/>
      <c r="F32" s="78"/>
      <c r="G32" s="17">
        <f>G31-G27-G26</f>
        <v>1275</v>
      </c>
      <c r="H32" s="17" t="s">
        <v>12</v>
      </c>
    </row>
    <row r="33" spans="1:8" s="21" customFormat="1" ht="15" customHeight="1" thickBot="1" x14ac:dyDescent="0.35">
      <c r="A33" s="59"/>
      <c r="B33" s="59"/>
      <c r="C33" s="59"/>
      <c r="D33" s="59"/>
      <c r="E33" s="59"/>
      <c r="F33" s="60"/>
      <c r="G33" s="58"/>
      <c r="H33" s="57"/>
    </row>
    <row r="34" spans="1:8" ht="47.4" thickBot="1" x14ac:dyDescent="0.35">
      <c r="A34" s="42" t="s">
        <v>20</v>
      </c>
      <c r="B34" s="43" t="s">
        <v>6</v>
      </c>
      <c r="C34" s="43" t="s">
        <v>7</v>
      </c>
      <c r="D34" s="44" t="s">
        <v>8</v>
      </c>
      <c r="E34" s="44" t="s">
        <v>21</v>
      </c>
      <c r="F34" s="44" t="s">
        <v>9</v>
      </c>
      <c r="G34" s="44" t="s">
        <v>10</v>
      </c>
      <c r="H34" s="45" t="s">
        <v>11</v>
      </c>
    </row>
    <row r="35" spans="1:8" ht="15" customHeight="1" x14ac:dyDescent="0.3">
      <c r="A35" s="46" t="s">
        <v>22</v>
      </c>
      <c r="B35" s="41" t="s">
        <v>23</v>
      </c>
      <c r="C35" s="17" t="s">
        <v>44</v>
      </c>
      <c r="D35" s="17" t="s">
        <v>45</v>
      </c>
      <c r="E35" s="17" t="s">
        <v>27</v>
      </c>
      <c r="F35" s="17">
        <v>3000</v>
      </c>
      <c r="G35" s="17">
        <v>3000</v>
      </c>
      <c r="H35" s="47" t="s">
        <v>12</v>
      </c>
    </row>
    <row r="36" spans="1:8" ht="15" customHeight="1" x14ac:dyDescent="0.3">
      <c r="A36" s="48"/>
      <c r="B36" s="37"/>
      <c r="C36" s="37"/>
      <c r="D36" s="14"/>
      <c r="E36" s="14"/>
      <c r="F36" s="14"/>
      <c r="G36" s="14"/>
      <c r="H36" s="29"/>
    </row>
    <row r="37" spans="1:8" ht="15" customHeight="1" x14ac:dyDescent="0.3">
      <c r="A37" s="70" t="s">
        <v>25</v>
      </c>
      <c r="B37" s="37" t="s">
        <v>42</v>
      </c>
      <c r="C37" s="37" t="s">
        <v>43</v>
      </c>
      <c r="D37" s="14" t="s">
        <v>24</v>
      </c>
      <c r="E37" s="14">
        <v>1</v>
      </c>
      <c r="F37" s="14">
        <v>1000</v>
      </c>
      <c r="G37" s="14">
        <f t="shared" ref="G37" si="2">E37*F37</f>
        <v>1000</v>
      </c>
      <c r="H37" s="29" t="s">
        <v>12</v>
      </c>
    </row>
    <row r="38" spans="1:8" ht="15" customHeight="1" x14ac:dyDescent="0.3">
      <c r="A38" s="71"/>
      <c r="B38" s="37" t="s">
        <v>17</v>
      </c>
      <c r="C38" s="37" t="s">
        <v>18</v>
      </c>
      <c r="D38" s="14" t="s">
        <v>39</v>
      </c>
      <c r="E38" s="14">
        <v>1</v>
      </c>
      <c r="F38" s="14">
        <v>1500</v>
      </c>
      <c r="G38" s="14">
        <f>E38*F38</f>
        <v>1500</v>
      </c>
      <c r="H38" s="29" t="s">
        <v>12</v>
      </c>
    </row>
    <row r="39" spans="1:8" ht="16.2" thickBot="1" x14ac:dyDescent="0.35">
      <c r="A39" s="72"/>
      <c r="F39" s="1"/>
      <c r="G39" s="1"/>
      <c r="H39" s="1"/>
    </row>
    <row r="40" spans="1:8" ht="15" customHeight="1" thickTop="1" thickBot="1" x14ac:dyDescent="0.35">
      <c r="A40" s="73" t="s">
        <v>26</v>
      </c>
      <c r="B40" s="74"/>
      <c r="C40" s="74"/>
      <c r="D40" s="74"/>
      <c r="E40" s="74"/>
      <c r="F40" s="75"/>
      <c r="G40" s="49">
        <f>G35-SUM(G37:G38)</f>
        <v>500</v>
      </c>
      <c r="H40" s="50" t="s">
        <v>12</v>
      </c>
    </row>
  </sheetData>
  <mergeCells count="9">
    <mergeCell ref="A1:H1"/>
    <mergeCell ref="A7:H7"/>
    <mergeCell ref="A37:A39"/>
    <mergeCell ref="A40:F40"/>
    <mergeCell ref="B32:F32"/>
    <mergeCell ref="D19:F19"/>
    <mergeCell ref="D20:F20"/>
    <mergeCell ref="D18:F18"/>
    <mergeCell ref="B23:F23"/>
  </mergeCells>
  <conditionalFormatting sqref="G32 G24">
    <cfRule type="cellIs" dxfId="1" priority="2" operator="lessThan">
      <formula>0</formula>
    </cfRule>
  </conditionalFormatting>
  <conditionalFormatting sqref="G13 G23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76" fitToWidth="0" orientation="landscape" r:id="rId1"/>
  <rowBreaks count="2" manualBreakCount="2">
    <brk id="12" max="7" man="1"/>
    <brk id="32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Vedaa Ubale</cp:lastModifiedBy>
  <cp:lastPrinted>2025-12-03T19:00:17Z</cp:lastPrinted>
  <dcterms:created xsi:type="dcterms:W3CDTF">2025-10-29T07:47:24Z</dcterms:created>
  <dcterms:modified xsi:type="dcterms:W3CDTF">2025-12-03T20:24:45Z</dcterms:modified>
</cp:coreProperties>
</file>